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0ab357e16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小秘境绑定解锁表" sheetId="1" r:id="Rad4a376b4a944a3a"/>
    <x:sheet xmlns:r="http://schemas.openxmlformats.org/officeDocument/2006/relationships" name="使用口径" sheetId="2" r:id="R2ca85e74aa8e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36505A"/>
      <x:name val="Carlito"/>
    </x:font>
    <x:font>
      <x:b/>
      <x:sz val="11"/>
      <x:color rgb="FFFFFFFF"/>
      <x:name val="Carlito"/>
    </x:font>
    <x:font>
      <x:b/>
      <x:sz val="11"/>
      <x:color rgb="FF1F4E5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8F1F3"/>
      </x:patternFill>
    </x:fill>
    <x:fill>
      <x:patternFill patternType="solid">
        <x:fgColor rgb="FF2A7F7F"/>
      </x:patternFill>
    </x:fill>
  </x:fills>
  <x:borders count="4">
    <x:border/>
    <x:border>
      <x:left style="thin">
        <x:color rgb="FFD4DADF"/>
      </x:left>
      <x:top style="thin">
        <x:color rgb="FFD4DADF"/>
      </x:top>
      <x:bottom style="thin">
        <x:color rgb="FFD4DADF"/>
      </x:bottom>
    </x:border>
    <x:border>
      <x:top style="thin">
        <x:color rgb="FFD4DADF"/>
      </x:top>
      <x:bottom style="thin">
        <x:color rgb="FFD4DADF"/>
      </x:bottom>
    </x:border>
    <x:border>
      <x:right style="thin">
        <x:color rgb="FFD4DADF"/>
      </x:right>
      <x:top style="thin">
        <x:color rgb="FFD4DADF"/>
      </x:top>
      <x:bottom style="thin">
        <x:color rgb="FFD4DAD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22543D"/>
      </x:font>
      <x:fill>
        <x:patternFill patternType="solid">
          <x:bgColor rgb="FFDDEFE4"/>
        </x:patternFill>
      </x:fill>
    </x:dxf>
    <x:dxf>
      <x:font>
        <x:b/>
        <x:color rgb="FF7A5A00"/>
      </x:font>
      <x:fill>
        <x:patternFill patternType="solid">
          <x:bgColor rgb="FFFFF1C7"/>
        </x:patternFill>
      </x:fill>
    </x:dxf>
    <x:dxf>
      <x:font>
        <x:b/>
        <x:color rgb="FF8C2F24"/>
      </x:font>
      <x:fill>
        <x:patternFill patternType="solid">
          <x:bgColor rgb="FFFADBD8"/>
        </x:patternFill>
      </x:fill>
    </x:dxf>
    <x:dxf>
      <x:font>
        <x:b/>
        <x:color rgb="FF234D65"/>
      </x:font>
      <x:fill>
        <x:patternFill patternType="solid">
          <x:bgColor rgb="FFE8F1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3aa4955c14c7c" /><Relationship Type="http://schemas.openxmlformats.org/officeDocument/2006/relationships/theme" Target="/xl/theme/theme1.xml" Id="R1fc8e7f63d6d49f1" /><Relationship Type="http://schemas.openxmlformats.org/officeDocument/2006/relationships/sharedStrings" Target="/xl/sharedStrings.xml" Id="R299229be803c461a" /><Relationship Type="http://schemas.openxmlformats.org/officeDocument/2006/relationships/worksheet" Target="/xl/worksheets/sheet1.xml" Id="Rad4a376b4a944a3a" /><Relationship Type="http://schemas.openxmlformats.org/officeDocument/2006/relationships/worksheet" Target="/xl/worksheets/sheet2.xml" Id="R2ca85e74aa8e4f9c" /><Relationship Type="http://schemas.microsoft.com/office/2017/10/relationships/person" Target="/xl/persons/person.xml" Id="R1dc992b99a684861" /></Relationships>
</file>

<file path=xl/persons/person.xml><?xml version="1.0" encoding="utf-8"?>
<xltc:personList xmlns:xltc="http://schemas.microsoft.com/office/spreadsheetml/2018/threadedcomments">
  <xltc:person displayName="User" id="{48FC0F5B-4258-408F-B5DB-78FFB611935A}"/>
</xltc:personList>
</file>

<file path=xl/tables/table1.xml><?xml version="1.0" encoding="utf-8"?>
<x:table xmlns:x="http://schemas.openxmlformats.org/spreadsheetml/2006/main" id="1" name="SmallDungeonUnlocks" displayName="SmallDungeonUnlocks" ref="A4:H35" headerRowCount="1" totalsRowCount="0" totalsRowShown="0">
  <x:tableColumns count="8">
    <x:tableColumn id="1" name="dungeonid"/>
    <x:tableColumn id="2" name="关卡"/>
    <x:tableColumn id="3" name="类别"/>
    <x:tableColumn id="4" name="解锁内容"/>
    <x:tableColumn id="5" name="实际条件"/>
    <x:tableColumn id="6" name="状态"/>
    <x:tableColumn id="7" name="说明"/>
    <x:tableColumn id="8" name="配置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ageRules" displayName="UsageRules" ref="A4:D8" headerRowCount="1" totalsRowCount="0" totalsRowShown="0">
  <x:tableColumns count="4">
    <x:tableColumn id="1" name="规则"/>
    <x:tableColumn id="2" name="说明"/>
    <x:tableColumn id="3" name="来源"/>
    <x:tableColumn id="4" name="结论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2d3f95de2a4c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ce36a4b2e84d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3" hidden="0" customWidth="1"/>
    <x:col min="4" max="4" width="28" hidden="0" customWidth="1"/>
    <x:col min="5" max="5" width="35" hidden="0" customWidth="1"/>
    <x:col min="6" max="6" width="14" hidden="0" customWidth="1"/>
    <x:col min="7" max="7" width="48" hidden="0" customWidth="1"/>
    <x:col min="8" max="8" width="56" hidden="0" customWidth="1"/>
  </x:cols>
  <x:sheetData>
    <x:row r="1" ht="34" customHeight="1">
      <x:c r="A1" s="3" t="str">
        <x:v>MHR 小秘境绑定解锁表</x:v>
      </x:c>
      <x:c r="B1" s="3" t="str">
        <x:v>MHR 小秘境绑定解锁表</x:v>
      </x:c>
      <x:c r="C1" s="3" t="str">
        <x:v>MHR 小秘境绑定解锁表</x:v>
      </x:c>
      <x:c r="D1" s="3" t="str">
        <x:v>MHR 小秘境绑定解锁表</x:v>
      </x:c>
      <x:c r="E1" s="3" t="str">
        <x:v>MHR 小秘境绑定解锁表</x:v>
      </x:c>
      <x:c r="F1" s="3" t="str">
        <x:v>MHR 小秘境绑定解锁表</x:v>
      </x:c>
      <x:c r="G1" s="3" t="str">
        <x:v>MHR 小秘境绑定解锁表</x:v>
      </x:c>
      <x:c r="H1" s="3" t="str">
        <x:v>MHR 小秘境绑定解锁表</x:v>
      </x:c>
    </x:row>
    <x:row r="2" ht="34" customHeight="1">
      <x:c r="A2" s="7" t="str">
        <x:v>按 dungeonid 查询该关卡会开放、发放或触发教学的系统/玩法/技能/魂珠内容。状态为“组合条件”或“条件冲突”的行不能按通关即开理解。</x:v>
      </x:c>
      <x:c r="B2" s="7" t="str">
        <x:v>按 dungeonid 查询该关卡会开放、发放或触发教学的系统/玩法/技能/魂珠内容。状态为“组合条件”或“条件冲突”的行不能按通关即开理解。</x:v>
      </x:c>
      <x:c r="C2" s="7" t="str">
        <x:v>按 dungeonid 查询该关卡会开放、发放或触发教学的系统/玩法/技能/魂珠内容。状态为“组合条件”或“条件冲突”的行不能按通关即开理解。</x:v>
      </x:c>
      <x:c r="D2" s="7" t="str">
        <x:v>按 dungeonid 查询该关卡会开放、发放或触发教学的系统/玩法/技能/魂珠内容。状态为“组合条件”或“条件冲突”的行不能按通关即开理解。</x:v>
      </x:c>
      <x:c r="E2" s="7" t="str">
        <x:v>按 dungeonid 查询该关卡会开放、发放或触发教学的系统/玩法/技能/魂珠内容。状态为“组合条件”或“条件冲突”的行不能按通关即开理解。</x:v>
      </x:c>
      <x:c r="F2" s="7" t="str">
        <x:v>按 dungeonid 查询该关卡会开放、发放或触发教学的系统/玩法/技能/魂珠内容。状态为“组合条件”或“条件冲突”的行不能按通关即开理解。</x:v>
      </x:c>
      <x:c r="G2" s="7" t="str">
        <x:v>按 dungeonid 查询该关卡会开放、发放或触发教学的系统/玩法/技能/魂珠内容。状态为“组合条件”或“条件冲突”的行不能按通关即开理解。</x:v>
      </x:c>
      <x:c r="H2" s="7" t="str">
        <x:v>按 dungeonid 查询该关卡会开放、发放或触发教学的系统/玩法/技能/魂珠内容。状态为“组合条件”或“条件冲突”的行不能按通关即开理解。</x:v>
      </x:c>
    </x:row>
    <x:row r="4" ht="30" customHeight="1">
      <x:c r="A4" s="19" t="str">
        <x:v>dungeonid</x:v>
      </x:c>
      <x:c r="B4" s="20" t="str">
        <x:v>关卡</x:v>
      </x:c>
      <x:c r="C4" s="20" t="str">
        <x:v>类别</x:v>
      </x:c>
      <x:c r="D4" s="20" t="str">
        <x:v>解锁内容</x:v>
      </x:c>
      <x:c r="E4" s="20" t="str">
        <x:v>实际条件</x:v>
      </x:c>
      <x:c r="F4" s="20" t="str">
        <x:v>状态</x:v>
      </x:c>
      <x:c r="G4" s="20" t="str">
        <x:v>说明</x:v>
      </x:c>
      <x:c r="H4" s="21" t="str">
        <x:v>配置证据</x:v>
      </x:c>
    </x:row>
    <x:row r="5" ht="46" customHeight="1">
      <x:c r="A5" s="26" t="n">
        <x:v>10101</x:v>
      </x:c>
      <x:c r="B5" s="23" t="str">
        <x:v>1-1</x:v>
      </x:c>
      <x:c r="C5" s="23" t="str">
        <x:v>技能</x:v>
      </x:c>
      <x:c r="D5" s="23" t="str">
        <x:v>战技1</x:v>
      </x:c>
      <x:c r="E5" s="23" t="str">
        <x:v>关内一次性特殊奖励事件拾取</x:v>
      </x:c>
      <x:c r="F5" s="23" t="str">
        <x:v>已配置</x:v>
      </x:c>
      <x:c r="G5" s="23" t="str">
        <x:v>按职业发放战技1解锁道具。</x:v>
      </x:c>
      <x:c r="H5" s="23" t="str">
        <x:v>dungeon_inners_event_reward：level_id=10101</x:v>
      </x:c>
    </x:row>
    <x:row r="6" ht="46" customHeight="1">
      <x:c r="A6" s="26" t="n">
        <x:v>10102</x:v>
      </x:c>
      <x:c r="B6" s="23" t="str">
        <x:v>1-2</x:v>
      </x:c>
      <x:c r="C6" s="23" t="str">
        <x:v>技能</x:v>
      </x:c>
      <x:c r="D6" s="23" t="str">
        <x:v>战技2</x:v>
      </x:c>
      <x:c r="E6" s="23" t="str">
        <x:v>关内一次性特殊奖励事件拾取</x:v>
      </x:c>
      <x:c r="F6" s="23" t="str">
        <x:v>已配置</x:v>
      </x:c>
      <x:c r="G6" s="23" t="str">
        <x:v>按职业发放战技2解锁道具。</x:v>
      </x:c>
      <x:c r="H6" s="23" t="str">
        <x:v>dungeon_inners_event_reward：level_id=10102</x:v>
      </x:c>
    </x:row>
    <x:row r="7" ht="46" customHeight="1">
      <x:c r="A7" s="26" t="n">
        <x:v>10104</x:v>
      </x:c>
      <x:c r="B7" s="23" t="str">
        <x:v>1-4</x:v>
      </x:c>
      <x:c r="C7" s="23" t="str">
        <x:v>系统</x:v>
      </x:c>
      <x:c r="D7" s="23" t="str">
        <x:v>技能系统主入口</x:v>
      </x:c>
      <x:c r="E7" s="23" t="str">
        <x:v>通关指定小秘境 1-4</x:v>
      </x:c>
      <x:c r="F7" s="23" t="str">
        <x:v>已配置</x:v>
      </x:c>
      <x:c r="G7" s="23" t="str">
        <x:v>入口开放；单个技能和槽位仍按自身规则。</x:v>
      </x:c>
      <x:c r="H7" s="23" t="str">
        <x:v>menu.id=2 -&gt; unlock.id=1102</x:v>
      </x:c>
    </x:row>
    <x:row r="8" ht="46" customHeight="1">
      <x:c r="A8" s="26" t="n">
        <x:v>10104</x:v>
      </x:c>
      <x:c r="B8" s="23" t="str">
        <x:v>1-4</x:v>
      </x:c>
      <x:c r="C8" s="23" t="str">
        <x:v>魂珠教学</x:v>
      </x:c>
      <x:c r="D8" s="23" t="str">
        <x:v>战技1魂珠1装配教学</x:v>
      </x:c>
      <x:c r="E8" s="23" t="str">
        <x:v>首次通关后，技能等级达到3级并装配</x:v>
      </x:c>
      <x:c r="F8" s="23" t="str">
        <x:v>设计契约</x:v>
      </x:c>
      <x:c r="G8" s="23" t="str">
        <x:v>关卡负责触发教学，不等于仅通关即可装配。</x:v>
      </x:c>
      <x:c r="H8" s="23" t="str">
        <x:v>寻路式引导契约：1-4</x:v>
      </x:c>
    </x:row>
    <x:row r="9" ht="46" customHeight="1">
      <x:c r="A9" s="26" t="n">
        <x:v>10107</x:v>
      </x:c>
      <x:c r="B9" s="23" t="str">
        <x:v>1-7</x:v>
      </x:c>
      <x:c r="C9" s="23" t="str">
        <x:v>魂珠教学</x:v>
      </x:c>
      <x:c r="D9" s="23" t="str">
        <x:v>战技2魂珠1装配教学</x:v>
      </x:c>
      <x:c r="E9" s="23" t="str">
        <x:v>首次通关后，技能等级达到5级并装配</x:v>
      </x:c>
      <x:c r="F9" s="23" t="str">
        <x:v>设计契约</x:v>
      </x:c>
      <x:c r="G9" s="23" t="str">
        <x:v>旧开放表写1-8；当前契约为1-7。</x:v>
      </x:c>
      <x:c r="H9" s="23" t="str">
        <x:v>寻路式引导契约：1-7</x:v>
      </x:c>
    </x:row>
    <x:row r="10" ht="46" customHeight="1">
      <x:c r="A10" s="26" t="n">
        <x:v>10109</x:v>
      </x:c>
      <x:c r="B10" s="23" t="str">
        <x:v>1-9</x:v>
      </x:c>
      <x:c r="C10" s="23" t="str">
        <x:v>技能</x:v>
      </x:c>
      <x:c r="D10" s="23" t="str">
        <x:v>战技3本体</x:v>
      </x:c>
      <x:c r="E10" s="23" t="str">
        <x:v>关内一次性特殊奖励事件拾取</x:v>
      </x:c>
      <x:c r="F10" s="23" t="str">
        <x:v>已配置</x:v>
      </x:c>
      <x:c r="G10" s="23" t="str">
        <x:v>按职业发放战技3解锁道具。</x:v>
      </x:c>
      <x:c r="H10" s="23" t="str">
        <x:v>dungeon_inners_event_reward：level_id=10109</x:v>
      </x:c>
    </x:row>
    <x:row r="11" ht="46" customHeight="1">
      <x:c r="A11" s="26" t="n">
        <x:v>10110</x:v>
      </x:c>
      <x:c r="B11" s="23" t="str">
        <x:v>1-10</x:v>
      </x:c>
      <x:c r="C11" s="23" t="str">
        <x:v>系统</x:v>
      </x:c>
      <x:c r="D11" s="23" t="str">
        <x:v>冒险大厅</x:v>
      </x:c>
      <x:c r="E11" s="23" t="str">
        <x:v>通关指定小秘境 1-10</x:v>
      </x:c>
      <x:c r="F11" s="23" t="str">
        <x:v>已配置</x:v>
      </x:c>
      <x:c r="G11" s="23" t="str">
        <x:v>玩法聚合入口开放。</x:v>
      </x:c>
      <x:c r="H11" s="23" t="str">
        <x:v>menu.id=15 -&gt; unlock.id=1115</x:v>
      </x:c>
    </x:row>
    <x:row r="12" ht="46" customHeight="1">
      <x:c r="A12" s="26" t="n">
        <x:v>10110</x:v>
      </x:c>
      <x:c r="B12" s="23" t="str">
        <x:v>1-10</x:v>
      </x:c>
      <x:c r="C12" s="23" t="str">
        <x:v>玩法</x:v>
      </x:c>
      <x:c r="D12" s="23" t="str">
        <x:v>大秘境入口</x:v>
      </x:c>
      <x:c r="E12" s="23" t="str">
        <x:v>通关指定小秘境 1-10</x:v>
      </x:c>
      <x:c r="F12" s="23" t="str">
        <x:v>已配置</x:v>
      </x:c>
      <x:c r="G12" s="23" t="str">
        <x:v>与冒险大厅同步开放。</x:v>
      </x:c>
      <x:c r="H12" s="23" t="str">
        <x:v>gameplay_entry.id=1 -&gt; unlock.id=1201</x:v>
      </x:c>
    </x:row>
    <x:row r="13" ht="46" customHeight="1">
      <x:c r="A13" s="26" t="n">
        <x:v>10112</x:v>
      </x:c>
      <x:c r="B13" s="23" t="str">
        <x:v>1-12</x:v>
      </x:c>
      <x:c r="C13" s="23" t="str">
        <x:v>系统</x:v>
      </x:c>
      <x:c r="D13" s="23" t="str">
        <x:v>铁匠铺</x:v>
      </x:c>
      <x:c r="E13" s="23" t="str">
        <x:v>通关指定小秘境 1-12</x:v>
      </x:c>
      <x:c r="F13" s="23" t="str">
        <x:v>已配置</x:v>
      </x:c>
      <x:c r="G13" s="23" t="str">
        <x:v>强化相关入口开放。</x:v>
      </x:c>
      <x:c r="H13" s="23" t="str">
        <x:v>menu.id=3 -&gt; unlock.id=1103</x:v>
      </x:c>
    </x:row>
    <x:row r="14" ht="46" customHeight="1">
      <x:c r="A14" s="26" t="n">
        <x:v>10112</x:v>
      </x:c>
      <x:c r="B14" s="23" t="str">
        <x:v>1-12</x:v>
      </x:c>
      <x:c r="C14" s="23" t="str">
        <x:v>系统</x:v>
      </x:c>
      <x:c r="D14" s="23" t="str">
        <x:v>武器召唤</x:v>
      </x:c>
      <x:c r="E14" s="23" t="str">
        <x:v>通关指定小秘境 1-12</x:v>
      </x:c>
      <x:c r="F14" s="23" t="str">
        <x:v>已配置</x:v>
      </x:c>
      <x:c r="G14" s="23" t="str">
        <x:v>武器抽卡入口开放。</x:v>
      </x:c>
      <x:c r="H14" s="23" t="str">
        <x:v>menu.id=8 -&gt; unlock.id=1108</x:v>
      </x:c>
    </x:row>
    <x:row r="15" ht="46" customHeight="1">
      <x:c r="A15" s="26" t="n">
        <x:v>10115</x:v>
      </x:c>
      <x:c r="B15" s="23" t="str">
        <x:v>1-15</x:v>
      </x:c>
      <x:c r="C15" s="23" t="str">
        <x:v>系统</x:v>
      </x:c>
      <x:c r="D15" s="23" t="str">
        <x:v>挂机探险</x:v>
      </x:c>
      <x:c r="E15" s="23" t="str">
        <x:v>通关指定小秘境 1-15</x:v>
      </x:c>
      <x:c r="F15" s="23" t="str">
        <x:v>已配置</x:v>
      </x:c>
      <x:c r="G15" s="23" t="str">
        <x:v>挂机入口开放。</x:v>
      </x:c>
      <x:c r="H15" s="23" t="str">
        <x:v>menu.id=5 -&gt; unlock.id=1105</x:v>
      </x:c>
    </x:row>
    <x:row r="16" ht="46" customHeight="1">
      <x:c r="A16" s="26" t="n">
        <x:v>10115</x:v>
      </x:c>
      <x:c r="B16" s="23" t="str">
        <x:v>1-15</x:v>
      </x:c>
      <x:c r="C16" s="23" t="str">
        <x:v>系统</x:v>
      </x:c>
      <x:c r="D16" s="23" t="str">
        <x:v>商店</x:v>
      </x:c>
      <x:c r="E16" s="23" t="str">
        <x:v>通关指定小秘境 1-15</x:v>
      </x:c>
      <x:c r="F16" s="23" t="str">
        <x:v>已配置</x:v>
      </x:c>
      <x:c r="G16" s="23" t="str">
        <x:v>与挂机共用同一开放条件。</x:v>
      </x:c>
      <x:c r="H16" s="23" t="str">
        <x:v>menu.id=6 -&gt; unlock.id=1105</x:v>
      </x:c>
    </x:row>
    <x:row r="17" ht="46" customHeight="1">
      <x:c r="A17" s="26" t="n">
        <x:v>10115</x:v>
      </x:c>
      <x:c r="B17" s="23" t="str">
        <x:v>1-15</x:v>
      </x:c>
      <x:c r="C17" s="23" t="str">
        <x:v>活动</x:v>
      </x:c>
      <x:c r="D17" s="23" t="str">
        <x:v>新手签到</x:v>
      </x:c>
      <x:c r="E17" s="23" t="str">
        <x:v>通关指定小秘境 1-15</x:v>
      </x:c>
      <x:c r="F17" s="23" t="str">
        <x:v>已配置</x:v>
      </x:c>
      <x:c r="G17" s="23" t="str">
        <x:v>开启当天计第1个有效登录日。</x:v>
      </x:c>
      <x:c r="H17" s="23" t="str">
        <x:v>menu.id=16 -&gt; unlock.id=1001</x:v>
      </x:c>
    </x:row>
    <x:row r="18" ht="46" customHeight="1">
      <x:c r="A18" s="26" t="n">
        <x:v>10115</x:v>
      </x:c>
      <x:c r="B18" s="23" t="str">
        <x:v>1-15</x:v>
      </x:c>
      <x:c r="C18" s="23" t="str">
        <x:v>场景</x:v>
      </x:c>
      <x:c r="D18" s="23" t="str">
        <x:v>第二阶段主城（沙漠营地）</x:v>
      </x:c>
      <x:c r="E18" s="23" t="str">
        <x:v>通关指定小秘境 1-15</x:v>
      </x:c>
      <x:c r="F18" s="23" t="str">
        <x:v>已配置</x:v>
      </x:c>
      <x:c r="G18" s="23" t="str">
        <x:v>首次满足条件后切换主城。</x:v>
      </x:c>
      <x:c r="H18" s="23" t="str">
        <x:v>homeland_scene_switch.id=2 -&gt; unlock.id=1001</x:v>
      </x:c>
    </x:row>
    <x:row r="19" ht="46" customHeight="1">
      <x:c r="A19" s="26" t="n">
        <x:v>10115</x:v>
      </x:c>
      <x:c r="B19" s="23" t="str">
        <x:v>1-15</x:v>
      </x:c>
      <x:c r="C19" s="23" t="str">
        <x:v>章节</x:v>
      </x:c>
      <x:c r="D19" s="23" t="str">
        <x:v>小秘境第二章</x:v>
      </x:c>
      <x:c r="E19" s="23" t="str">
        <x:v>通关指定小秘境 1-15</x:v>
      </x:c>
      <x:c r="F19" s="23" t="str">
        <x:v>已配置</x:v>
      </x:c>
      <x:c r="G19" s="23" t="str">
        <x:v>第二章关卡列表开放。</x:v>
      </x:c>
      <x:c r="H19" s="23" t="str">
        <x:v>dungeon_inners_chapter.chapter_id=2 -&gt; unlock.id=1001</x:v>
      </x:c>
    </x:row>
    <x:row r="20" ht="46" customHeight="1">
      <x:c r="A20" s="26" t="n">
        <x:v>10201</x:v>
      </x:c>
      <x:c r="B20" s="23" t="str">
        <x:v>2-1</x:v>
      </x:c>
      <x:c r="C20" s="23" t="str">
        <x:v>系统</x:v>
      </x:c>
      <x:c r="D20" s="23" t="str">
        <x:v>宠物</x:v>
      </x:c>
      <x:c r="E20" s="23" t="str">
        <x:v>通关指定小秘境 2-1</x:v>
      </x:c>
      <x:c r="F20" s="23" t="str">
        <x:v>已配置</x:v>
      </x:c>
      <x:c r="G20" s="23" t="str">
        <x:v>当前生产配置；早于旧开放表的2-4。</x:v>
      </x:c>
      <x:c r="H20" s="23" t="str">
        <x:v>menu.id=10 -&gt; unlock.id=1110</x:v>
      </x:c>
    </x:row>
    <x:row r="21" ht="46" customHeight="1">
      <x:c r="A21" s="26" t="n">
        <x:v>10202</x:v>
      </x:c>
      <x:c r="B21" s="23" t="str">
        <x:v>2-2</x:v>
      </x:c>
      <x:c r="C21" s="23" t="str">
        <x:v>玩法</x:v>
      </x:c>
      <x:c r="D21" s="23" t="str">
        <x:v>资源秘境入口</x:v>
      </x:c>
      <x:c r="E21" s="23" t="str">
        <x:v>通关指定小秘境 2-2</x:v>
      </x:c>
      <x:c r="F21" s="23" t="str">
        <x:v>已配置</x:v>
      </x:c>
      <x:c r="G21" s="23" t="str">
        <x:v>资源玩法总入口开放。</x:v>
      </x:c>
      <x:c r="H21" s="23" t="str">
        <x:v>gameplay_entry.id=3 -&gt; unlock.id=1203</x:v>
      </x:c>
    </x:row>
    <x:row r="22" ht="46" customHeight="1">
      <x:c r="A22" s="26" t="n">
        <x:v>10202</x:v>
      </x:c>
      <x:c r="B22" s="23" t="str">
        <x:v>2-2</x:v>
      </x:c>
      <x:c r="C22" s="23" t="str">
        <x:v>玩法</x:v>
      </x:c>
      <x:c r="D22" s="23" t="str">
        <x:v>技能试炼难度1</x:v>
      </x:c>
      <x:c r="E22" s="23" t="str">
        <x:v>通关指定小秘境 2-2</x:v>
      </x:c>
      <x:c r="F22" s="23" t="str">
        <x:v>已配置</x:v>
      </x:c>
      <x:c r="G22" s="23" t="str">
        <x:v>资源本类型与第1层同时开放。</x:v>
      </x:c>
      <x:c r="H22" s="23" t="str">
        <x:v>resource_dungeon_type.type=4 / level.id=34001</x:v>
      </x:c>
    </x:row>
    <x:row r="23" ht="46" customHeight="1">
      <x:c r="A23" s="26" t="n">
        <x:v>10205</x:v>
      </x:c>
      <x:c r="B23" s="23" t="str">
        <x:v>2-5</x:v>
      </x:c>
      <x:c r="C23" s="23" t="str">
        <x:v>玩法</x:v>
      </x:c>
      <x:c r="D23" s="23" t="str">
        <x:v>装备秘境入口（普通）</x:v>
      </x:c>
      <x:c r="E23" s="23" t="str">
        <x:v>通关指定小秘境 2-5</x:v>
      </x:c>
      <x:c r="F23" s="23" t="str">
        <x:v>已配置</x:v>
      </x:c>
      <x:c r="G23" s="23" t="str">
        <x:v>生产表标注为设计侧联调示例，运行消费表仍需程序确认。</x:v>
      </x:c>
      <x:c r="H23" s="23" t="str">
        <x:v>gameplay_entry.id=2 / team_loot_chapter.chapter_id=1</x:v>
      </x:c>
    </x:row>
    <x:row r="24" ht="46" customHeight="1">
      <x:c r="A24" s="26" t="n">
        <x:v>10207</x:v>
      </x:c>
      <x:c r="B24" s="23" t="str">
        <x:v>2-7</x:v>
      </x:c>
      <x:c r="C24" s="23" t="str">
        <x:v>技能</x:v>
      </x:c>
      <x:c r="D24" s="23" t="str">
        <x:v>被动领悟·一式</x:v>
      </x:c>
      <x:c r="E24" s="23" t="str">
        <x:v>一星首通自动发放道具</x:v>
      </x:c>
      <x:c r="F24" s="23" t="str">
        <x:v>已配置</x:v>
      </x:c>
      <x:c r="G24" s="23" t="str">
        <x:v>解锁当前职业第一套BD的第1个被动。</x:v>
      </x:c>
      <x:c r="H24" s="23" t="str">
        <x:v>dungeon_inners_reward.id=10207 / first_reward_1_star</x:v>
      </x:c>
    </x:row>
    <x:row r="25" ht="46" customHeight="1">
      <x:c r="A25" s="26" t="n">
        <x:v>10210</x:v>
      </x:c>
      <x:c r="B25" s="23" t="str">
        <x:v>2-10</x:v>
      </x:c>
      <x:c r="C25" s="23" t="str">
        <x:v>玩法</x:v>
      </x:c>
      <x:c r="D25" s="23" t="str">
        <x:v>铸刃试炼难度1</x:v>
      </x:c>
      <x:c r="E25" s="23" t="str">
        <x:v>通关指定小秘境 2-10</x:v>
      </x:c>
      <x:c r="F25" s="23" t="str">
        <x:v>已配置</x:v>
      </x:c>
      <x:c r="G25" s="23" t="str">
        <x:v>武器资源本类型入口与第1层开放。</x:v>
      </x:c>
      <x:c r="H25" s="23" t="str">
        <x:v>resource_dungeon_type.type=2 / level.id=32001</x:v>
      </x:c>
    </x:row>
    <x:row r="26" ht="46" customHeight="1">
      <x:c r="A26" s="26" t="n">
        <x:v>10210</x:v>
      </x:c>
      <x:c r="B26" s="23" t="str">
        <x:v>2-10</x:v>
      </x:c>
      <x:c r="C26" s="23" t="str">
        <x:v>玩法</x:v>
      </x:c>
      <x:c r="D26" s="23" t="str">
        <x:v>铸甲试炼难度1</x:v>
      </x:c>
      <x:c r="E26" s="23" t="str">
        <x:v>通关指定小秘境 2-10</x:v>
      </x:c>
      <x:c r="F26" s="23" t="str">
        <x:v>已配置</x:v>
      </x:c>
      <x:c r="G26" s="23" t="str">
        <x:v>防具资源本类型入口与第1层开放。</x:v>
      </x:c>
      <x:c r="H26" s="23" t="str">
        <x:v>resource_dungeon_type.type=3 / level.id=33001</x:v>
      </x:c>
    </x:row>
    <x:row r="27" ht="46" customHeight="1">
      <x:c r="A27" s="26" t="n">
        <x:v>10211</x:v>
      </x:c>
      <x:c r="B27" s="23" t="str">
        <x:v>2-11</x:v>
      </x:c>
      <x:c r="C27" s="23" t="str">
        <x:v>魂珠</x:v>
      </x:c>
      <x:c r="D27" s="23" t="str">
        <x:v>核心魂珠·对群</x:v>
      </x:c>
      <x:c r="E27" s="23" t="str">
        <x:v>一星首通发放本体；技能等级10解锁孔位</x:v>
      </x:c>
      <x:c r="F27" s="23" t="str">
        <x:v>组合条件</x:v>
      </x:c>
      <x:c r="G27" s="23" t="str">
        <x:v>本体与核心魂珠孔位分别校验。</x:v>
      </x:c>
      <x:c r="H27" s="23" t="str">
        <x:v>dungeon_inners_reward.id=10211 + skill_slot.slot_id=7</x:v>
      </x:c>
    </x:row>
    <x:row r="28" ht="46" customHeight="1">
      <x:c r="A28" s="26" t="n">
        <x:v>10213</x:v>
      </x:c>
      <x:c r="B28" s="23" t="str">
        <x:v>2-13</x:v>
      </x:c>
      <x:c r="C28" s="23" t="str">
        <x:v>技能</x:v>
      </x:c>
      <x:c r="D28" s="23" t="str">
        <x:v>被动领悟·二式</x:v>
      </x:c>
      <x:c r="E28" s="23" t="str">
        <x:v>一星首通自动发放道具</x:v>
      </x:c>
      <x:c r="F28" s="23" t="str">
        <x:v>已配置</x:v>
      </x:c>
      <x:c r="G28" s="23" t="str">
        <x:v>解锁当前职业第一套BD的第2个被动。</x:v>
      </x:c>
      <x:c r="H28" s="23" t="str">
        <x:v>dungeon_inners_reward.id=10213 / first_reward_1_star</x:v>
      </x:c>
    </x:row>
    <x:row r="29" ht="46" customHeight="1">
      <x:c r="A29" s="26" t="n">
        <x:v>10214</x:v>
      </x:c>
      <x:c r="B29" s="23" t="str">
        <x:v>2-14</x:v>
      </x:c>
      <x:c r="C29" s="23" t="str">
        <x:v>玩法</x:v>
      </x:c>
      <x:c r="D29" s="23" t="str">
        <x:v>装备秘境困难</x:v>
      </x:c>
      <x:c r="E29" s="23" t="str">
        <x:v>战力达到28,000；解锁提示引用2-14</x:v>
      </x:c>
      <x:c r="F29" s="23" t="str">
        <x:v>条件冲突</x:v>
      </x:c>
      <x:c r="G29" s="23" t="str">
        <x:v>当前玩法配置为战力门槛，不能简写成通关即开。</x:v>
      </x:c>
      <x:c r="H29" s="23" t="str">
        <x:v>team_loot_level.id=10102 -&gt; unlock.id=1502</x:v>
      </x:c>
    </x:row>
    <x:row r="30" ht="46" customHeight="1">
      <x:c r="A30" s="26" t="n">
        <x:v>10215</x:v>
      </x:c>
      <x:c r="B30" s="23" t="str">
        <x:v>2-15</x:v>
      </x:c>
      <x:c r="C30" s="23" t="str">
        <x:v>玩法</x:v>
      </x:c>
      <x:c r="D30" s="23" t="str">
        <x:v>技能试炼难度2</x:v>
      </x:c>
      <x:c r="E30" s="23" t="str">
        <x:v>通关2-15，且技能等级达到21</x:v>
      </x:c>
      <x:c r="F30" s="23" t="str">
        <x:v>组合条件</x:v>
      </x:c>
      <x:c r="G30" s="23" t="str">
        <x:v>资源本层表同时存在关卡字段与技能等级门槛。</x:v>
      </x:c>
      <x:c r="H30" s="23" t="str">
        <x:v>resource_dungeon_level.id=34002 -&gt; unlock.id=1442</x:v>
      </x:c>
    </x:row>
    <x:row r="31" ht="46" customHeight="1">
      <x:c r="A31" s="26" t="n">
        <x:v>10216</x:v>
      </x:c>
      <x:c r="B31" s="23" t="str">
        <x:v>2-16</x:v>
      </x:c>
      <x:c r="C31" s="23" t="str">
        <x:v>魂珠</x:v>
      </x:c>
      <x:c r="D31" s="23" t="str">
        <x:v>战技魂珠·二式</x:v>
      </x:c>
      <x:c r="E31" s="23" t="str">
        <x:v>一星首通自动发放道具</x:v>
      </x:c>
      <x:c r="F31" s="23" t="str">
        <x:v>已配置</x:v>
      </x:c>
      <x:c r="G31" s="23" t="str">
        <x:v>按当前职业解锁对应战技魂珠。</x:v>
      </x:c>
      <x:c r="H31" s="23" t="str">
        <x:v>dungeon_inners_reward.id=10216 / first_reward_1_star</x:v>
      </x:c>
    </x:row>
    <x:row r="32" ht="46" customHeight="1">
      <x:c r="A32" s="26" t="n">
        <x:v>10217</x:v>
      </x:c>
      <x:c r="B32" s="23" t="str">
        <x:v>2-17</x:v>
      </x:c>
      <x:c r="C32" s="23" t="str">
        <x:v>玩法</x:v>
      </x:c>
      <x:c r="D32" s="23" t="str">
        <x:v>淘金试炼难度1</x:v>
      </x:c>
      <x:c r="E32" s="23" t="str">
        <x:v>通关指定小秘境 2-17</x:v>
      </x:c>
      <x:c r="F32" s="23" t="str">
        <x:v>已配置</x:v>
      </x:c>
      <x:c r="G32" s="23" t="str">
        <x:v>金币资源本类型入口与第1层开放。</x:v>
      </x:c>
      <x:c r="H32" s="23" t="str">
        <x:v>resource_dungeon_type.type=1 / level.id=31001</x:v>
      </x:c>
    </x:row>
    <x:row r="33" ht="46" customHeight="1">
      <x:c r="A33" s="26" t="n">
        <x:v>10230</x:v>
      </x:c>
      <x:c r="B33" s="23" t="str">
        <x:v>2-30</x:v>
      </x:c>
      <x:c r="C33" s="23" t="str">
        <x:v>章节</x:v>
      </x:c>
      <x:c r="D33" s="23" t="str">
        <x:v>小秘境第三章</x:v>
      </x:c>
      <x:c r="E33" s="23" t="str">
        <x:v>通关指定小秘境 2-30</x:v>
      </x:c>
      <x:c r="F33" s="23" t="str">
        <x:v>已配置</x:v>
      </x:c>
      <x:c r="G33" s="23" t="str">
        <x:v>第三章关卡列表开放。</x:v>
      </x:c>
      <x:c r="H33" s="23" t="str">
        <x:v>dungeon_inners_chapter.chapter_id=3 -&gt; unlock.id=1002</x:v>
      </x:c>
    </x:row>
    <x:row r="34" ht="46" customHeight="1">
      <x:c r="A34" s="26" t="n">
        <x:v>10330</x:v>
      </x:c>
      <x:c r="B34" s="23" t="str">
        <x:v>3-30</x:v>
      </x:c>
      <x:c r="C34" s="23" t="str">
        <x:v>章节</x:v>
      </x:c>
      <x:c r="D34" s="23" t="str">
        <x:v>小秘境第四章</x:v>
      </x:c>
      <x:c r="E34" s="23" t="str">
        <x:v>通关指定小秘境 3-30</x:v>
      </x:c>
      <x:c r="F34" s="23" t="str">
        <x:v>已配置</x:v>
      </x:c>
      <x:c r="G34" s="23" t="str">
        <x:v>第四章关卡列表开放。</x:v>
      </x:c>
      <x:c r="H34" s="23" t="str">
        <x:v>dungeon_inners_chapter.chapter_id=4 -&gt; unlock.id=1003</x:v>
      </x:c>
    </x:row>
    <x:row r="35" ht="46" customHeight="1">
      <x:c r="A35" s="26" t="n">
        <x:v>10430</x:v>
      </x:c>
      <x:c r="B35" s="23" t="str">
        <x:v>4-30</x:v>
      </x:c>
      <x:c r="C35" s="23" t="str">
        <x:v>章节</x:v>
      </x:c>
      <x:c r="D35" s="23" t="str">
        <x:v>小秘境第五章</x:v>
      </x:c>
      <x:c r="E35" s="23" t="str">
        <x:v>通关指定小秘境 4-30</x:v>
      </x:c>
      <x:c r="F35" s="23" t="str">
        <x:v>已配置</x:v>
      </x:c>
      <x:c r="G35" s="23" t="str">
        <x:v>第五章关卡列表开放。</x:v>
      </x:c>
      <x:c r="H35" s="23" t="str">
        <x:v>dungeon_inners_chapter.chapter_id=5 -&gt; unlock.id=1004</x:v>
      </x:c>
    </x:row>
  </x:sheetData>
  <x:mergeCells>
    <x:mergeCell ref="A1:H1"/>
    <x:mergeCell ref="A2:H2"/>
  </x:mergeCells>
  <x:conditionalFormatting sqref="F5:F35">
    <x:cfRule type="containsText" dxfId="0" priority="1" operator="containsText" text="已配置"/>
    <x:cfRule type="containsText" dxfId="1" priority="2" operator="containsText" text="组合条件"/>
    <x:cfRule type="containsText" dxfId="2" priority="3" operator="containsText" text="冲突"/>
    <x:cfRule type="containsText" dxfId="3" priority="4" operator="containsText" text="设计契约"/>
  </x:conditionalFormatting>
  <x:pageMargins left="0.7" right="0.7" top="0.75" bottom="0.75" header="0.3" footer="0.3"/>
  <x:tableParts count="1">
    <x:tablePart xmlns:r="http://schemas.openxmlformats.org/officeDocument/2006/relationships" r:id="R4b2d3f95de2a4c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  <x:col min="3" max="3" width="42" hidden="0" customWidth="1"/>
    <x:col min="4" max="4" width="38" hidden="0" customWidth="1"/>
  </x:cols>
  <x:sheetData>
    <x:row r="1" ht="34" customHeight="1">
      <x:c r="A1" s="3" t="str">
        <x:v>使用口径</x:v>
      </x:c>
      <x:c r="B1" s="3" t="str">
        <x:v>使用口径</x:v>
      </x:c>
      <x:c r="C1" s="3" t="str">
        <x:v>使用口径</x:v>
      </x:c>
      <x:c r="D1" s="3" t="str">
        <x:v>使用口径</x:v>
      </x:c>
    </x:row>
    <x:row r="2" ht="34" customHeight="1">
      <x:c r="A2" s="7" t="str">
        <x:v>本表只列能落到小秘境 dungeonid 的内容。单纯按技能等级、战力、登录日或抽数开放的内容不反推至某个 dungeonid。</x:v>
      </x:c>
      <x:c r="B2" s="7" t="str">
        <x:v>本表只列能落到小秘境 dungeonid 的内容。单纯按技能等级、战力、登录日或抽数开放的内容不反推至某个 dungeonid。</x:v>
      </x:c>
      <x:c r="C2" s="7" t="str">
        <x:v>本表只列能落到小秘境 dungeonid 的内容。单纯按技能等级、战力、登录日或抽数开放的内容不反推至某个 dungeonid。</x:v>
      </x:c>
      <x:c r="D2" s="7" t="str">
        <x:v>本表只列能落到小秘境 dungeonid 的内容。单纯按技能等级、战力、登录日或抽数开放的内容不反推至某个 dungeonid。</x:v>
      </x:c>
    </x:row>
    <x:row r="4" ht="30" customHeight="1">
      <x:c r="A4" s="19" t="str">
        <x:v>规则</x:v>
      </x:c>
      <x:c r="B4" s="20" t="str">
        <x:v>说明</x:v>
      </x:c>
      <x:c r="C4" s="20" t="str">
        <x:v>来源</x:v>
      </x:c>
      <x:c r="D4" s="21" t="str">
        <x:v>结论</x:v>
      </x:c>
    </x:row>
    <x:row r="5" ht="66" customHeight="1">
      <x:c r="A5" s="23" t="str">
        <x:v>关卡通关条件</x:v>
      </x:c>
      <x:c r="B5" s="23" t="str">
        <x:v>common/unlock 的条件枚举2表示通关指定小秘境关卡，参数是小秘境关卡ID。</x:v>
      </x:c>
      <x:c r="C5" s="23" t="str">
        <x:v>common/unlock.xlsx</x:v>
      </x:c>
      <x:c r="D5" s="23" t="str">
        <x:v>可按 dungeonid 直接映射。</x:v>
      </x:c>
    </x:row>
    <x:row r="6" ht="66" customHeight="1">
      <x:c r="A6" s="23" t="str">
        <x:v>首通奖励</x:v>
      </x:c>
      <x:c r="B6" s="23" t="str">
        <x:v>dungeon_inners_reward 的一星首通奖励会发放技能/魂珠解锁道具。</x:v>
      </x:c>
      <x:c r="C6" s="23" t="str">
        <x:v>level/dungeon_inners_reward.xlsx</x:v>
      </x:c>
      <x:c r="D6" s="23" t="str">
        <x:v>不是普通的菜单开放。</x:v>
      </x:c>
    </x:row>
    <x:row r="7" ht="66" customHeight="1">
      <x:c r="A7" s="23" t="str">
        <x:v>组合条件</x:v>
      </x:c>
      <x:c r="B7" s="23" t="str">
        <x:v>魂珠孔位、资源本难度等还会额外校验技能等级或其他门槛。</x:v>
      </x:c>
      <x:c r="C7" s="23" t="str">
        <x:v>skill_slot.xlsx / resource_dungeon_level.xlsx</x:v>
      </x:c>
      <x:c r="D7" s="23" t="str">
        <x:v>表中保留完整条件。</x:v>
      </x:c>
    </x:row>
    <x:row r="8" ht="66" customHeight="1">
      <x:c r="A8" s="23" t="str">
        <x:v>条件冲突</x:v>
      </x:c>
      <x:c r="B8" s="23" t="str">
        <x:v>装备秘境困难的解锁提示虽引用2-14，但当前玩法行实际校验战力28,000。</x:v>
      </x:c>
      <x:c r="C8" s="23" t="str">
        <x:v>team_loot_level.xlsx + common/unlock.xlsx</x:v>
      </x:c>
      <x:c r="D8" s="23" t="str">
        <x:v>不得写成通关2-14即开。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ace36a4b2e84d8e"/>
  </x:tableParts>
</x:worksheet>
</file>